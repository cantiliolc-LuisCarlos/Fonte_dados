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4B1C2650-7C38-47FE-BA5E-8B68E0A2AF70}" xr6:coauthVersionLast="36" xr6:coauthVersionMax="47" xr10:uidLastSave="{00000000-0000-0000-0000-000000000000}"/>
  <bookViews>
    <workbookView xWindow="0" yWindow="0" windowWidth="23040" windowHeight="8940" xr2:uid="{11B9C1A0-928E-4B6D-B504-DCA160FB4CEA}"/>
  </bookViews>
  <sheets>
    <sheet name="VLFob" sheetId="3" r:id="rId1"/>
    <sheet name="Geral" sheetId="4" r:id="rId2"/>
    <sheet name="Gráfico" sheetId="7" r:id="rId3"/>
  </sheets>
  <calcPr calcId="17902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B4" i="4"/>
  <c r="B2" i="4" l="1"/>
</calcChain>
</file>

<file path=xl/sharedStrings.xml><?xml version="1.0" encoding="utf-8"?>
<sst xmlns="http://schemas.openxmlformats.org/spreadsheetml/2006/main" count="25" uniqueCount="10">
  <si>
    <t>Ano</t>
  </si>
  <si>
    <t>Cidade</t>
  </si>
  <si>
    <t>Valor</t>
  </si>
  <si>
    <t>Jacareí</t>
  </si>
  <si>
    <t>Atibaia</t>
  </si>
  <si>
    <t>Soma de Valor</t>
  </si>
  <si>
    <t>Rótulos de Coluna</t>
  </si>
  <si>
    <t>Rótulos de Linha</t>
  </si>
  <si>
    <t>Total Geral</t>
  </si>
  <si>
    <t>São josé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</si>
</sst>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[somase.xlsx]Gráfico!Tabela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Gráfico!$B$3:$B$4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Gráfico!$A$5:$A$8</c:f>
              <c:strCache>
                <c:ptCount val="3"/>
                <c:pt idx="0">
                  <c:v>Atibaia</c:v>
                </c:pt>
                <c:pt idx="1">
                  <c:v>Jacareí</c:v>
                </c:pt>
                <c:pt idx="2">
                  <c:v>São josé dos Campos</c:v>
                </c:pt>
              </c:strCache>
            </c:strRef>
          </c:cat>
          <c:val>
            <c:numRef>
              <c:f>Gráfico!$B$5:$B$8</c:f>
              <c:numCache>
                <c:formatCode>General</c:formatCode>
                <c:ptCount val="3"/>
                <c:pt idx="0">
                  <c:v>100</c:v>
                </c:pt>
                <c:pt idx="1">
                  <c:v>600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2E-4804-AF21-32FBE4A83957}"/>
            </c:ext>
          </c:extLst>
        </c:ser>
        <c:ser>
          <c:idx val="1"/>
          <c:order val="1"/>
          <c:tx>
            <c:strRef>
              <c:f>Gráfico!$C$3:$C$4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Gráfico!$A$5:$A$8</c:f>
              <c:strCache>
                <c:ptCount val="3"/>
                <c:pt idx="0">
                  <c:v>Atibaia</c:v>
                </c:pt>
                <c:pt idx="1">
                  <c:v>Jacareí</c:v>
                </c:pt>
                <c:pt idx="2">
                  <c:v>São josé dos Campos</c:v>
                </c:pt>
              </c:strCache>
            </c:strRef>
          </c:cat>
          <c:val>
            <c:numRef>
              <c:f>Gráfico!$C$5:$C$8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2E-4804-AF21-32FBE4A83957}"/>
            </c:ext>
          </c:extLst>
        </c:ser>
        <c:ser>
          <c:idx val="2"/>
          <c:order val="2"/>
          <c:tx>
            <c:strRef>
              <c:f>Gráfico!$D$3:$D$4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Gráfico!$A$5:$A$8</c:f>
              <c:strCache>
                <c:ptCount val="3"/>
                <c:pt idx="0">
                  <c:v>Atibaia</c:v>
                </c:pt>
                <c:pt idx="1">
                  <c:v>Jacareí</c:v>
                </c:pt>
                <c:pt idx="2">
                  <c:v>São josé dos Campos</c:v>
                </c:pt>
              </c:strCache>
            </c:strRef>
          </c:cat>
          <c:val>
            <c:numRef>
              <c:f>Gráfico!$D$5:$D$8</c:f>
              <c:numCache>
                <c:formatCode>General</c:formatCode>
                <c:ptCount val="3"/>
                <c:pt idx="0">
                  <c:v>-50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2E-4804-AF21-32FBE4A83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385184"/>
        <c:axId val="147695968"/>
      </c:lineChart>
      <c:catAx>
        <c:axId val="20203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695968"/>
        <c:crosses val="autoZero"/>
        <c:auto val="1"/>
        <c:lblAlgn val="ctr"/>
        <c:lblOffset val="100"/>
        <c:noMultiLvlLbl val="0"/>
      </c:catAx>
      <c:valAx>
        <c:axId val="1476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038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8</xdr:row>
      <xdr:rowOff>144780</xdr:rowOff>
    </xdr:from>
    <xdr:to>
      <xdr:col>17</xdr:col>
      <xdr:colOff>53340</xdr:colOff>
      <xdr:row>24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E93D1B-D748-40BC-A541-1706A7F1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Sérgio dos Santos" refreshedDate="45966.959367592593" createdVersion="6" refreshedVersion="6" minRefreshableVersion="3" recordCount="9" xr:uid="{C03FF0BA-36AA-4A93-9BCE-6116C064535A}">
  <cacheSource type="worksheet">
    <worksheetSource ref="A1:C10" sheet="VLFob"/>
  </cacheSource>
  <cacheFields count="3">
    <cacheField name="Ano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Cidade" numFmtId="0">
      <sharedItems count="3">
        <s v="São josé dos Campos"/>
        <s v="Jacareí"/>
        <s v="Atibaia"/>
      </sharedItems>
    </cacheField>
    <cacheField name="Valor" numFmtId="0">
      <sharedItems containsSemiMixedTypes="0" containsString="0" containsNumber="1" containsInteger="1" minValue="-5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200"/>
  </r>
  <r>
    <x v="0"/>
    <x v="1"/>
    <n v="600"/>
  </r>
  <r>
    <x v="0"/>
    <x v="2"/>
    <n v="100"/>
  </r>
  <r>
    <x v="1"/>
    <x v="0"/>
    <n v="200"/>
  </r>
  <r>
    <x v="1"/>
    <x v="1"/>
    <n v="150"/>
  </r>
  <r>
    <x v="1"/>
    <x v="2"/>
    <n v="100"/>
  </r>
  <r>
    <x v="2"/>
    <x v="0"/>
    <n v="50"/>
  </r>
  <r>
    <x v="2"/>
    <x v="1"/>
    <n v="0"/>
  </r>
  <r>
    <x v="2"/>
    <x v="2"/>
    <n v="-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B5EC9-CEA5-4F9B-B2A3-26793705690C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E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oma de Valor" fld="2" baseField="0" baseItem="0"/>
  </dataFields>
  <chartFormats count="7">
    <chartFormat chart="0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BEDEF-C79B-4291-B2B3-1E7DB82DBFC6}" name="Tabela1" displayName="Tabela1" ref="A1:C10" totalsRowShown="0">
  <tableColumns count="3">
    <tableColumn id="1" xr3:uid="{1BB0238F-29A9-4A7B-B9A0-DCF2098C3C89}" name="Ano"/>
    <tableColumn id="2" xr3:uid="{1DC943BA-E304-4935-869B-A113BC65C7B6}" name="Cidade"/>
    <tableColumn id="3" xr3:uid="{DEA0B3AB-FF88-40E3-8179-83C96D052076}" name="Valo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FA6465-469B-4038-AC17-392C7999DB4B}" name="Tabela2" displayName="Tabela2" ref="A1:B4" totalsRowShown="0">
  <tableColumns count="2">
    <tableColumn id="1" xr3:uid="{FBFC602D-CEBC-43CC-A44C-F8D0934BF1F4}" name="Cidade"/>
    <tableColumn id="2" xr3:uid="{D8E5EB42-6B61-4BF9-9BC3-6C2E324B094C}" name="Valor">
      <calculatedColumnFormula>SUMIF(VLFob!B:B,Geral!A2,VLFob!C:C)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CA12-45CB-4114-8FA1-8C0A108A204F}">
  <dimension ref="A1:C10"/>
  <sheetViews>
    <sheetView tabSelected="1" workbookViewId="0">
      <selection sqref="A1:A1048576"/>
    </sheetView>
  </sheetViews>
  <sheetFormatPr defaultRowHeight="14.4" x14ac:dyDescent="0.3"/>
  <cols>
    <col min="1" max="1" width="27.109375" customWidth="1"/>
    <col min="2" max="2" width="32.2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2003</v>
      </c>
      <c r="B2" t="s">
        <v>9</v>
      </c>
      <c r="C2">
        <v>200</v>
      </c>
    </row>
    <row r="3" spans="1:3" x14ac:dyDescent="0.3">
      <c r="A3">
        <v>2003</v>
      </c>
      <c r="B3" t="s">
        <v>3</v>
      </c>
      <c r="C3">
        <v>600</v>
      </c>
    </row>
    <row r="4" spans="1:3" x14ac:dyDescent="0.3">
      <c r="A4">
        <v>2003</v>
      </c>
      <c r="B4" t="s">
        <v>4</v>
      </c>
      <c r="C4">
        <v>100</v>
      </c>
    </row>
    <row r="5" spans="1:3" x14ac:dyDescent="0.3">
      <c r="A5">
        <v>2004</v>
      </c>
      <c r="B5" t="s">
        <v>9</v>
      </c>
      <c r="C5">
        <v>200</v>
      </c>
    </row>
    <row r="6" spans="1:3" x14ac:dyDescent="0.3">
      <c r="A6">
        <v>2004</v>
      </c>
      <c r="B6" t="s">
        <v>3</v>
      </c>
      <c r="C6">
        <v>150</v>
      </c>
    </row>
    <row r="7" spans="1:3" x14ac:dyDescent="0.3">
      <c r="A7">
        <v>2004</v>
      </c>
      <c r="B7" t="s">
        <v>4</v>
      </c>
      <c r="C7">
        <v>100</v>
      </c>
    </row>
    <row r="8" spans="1:3" x14ac:dyDescent="0.3">
      <c r="A8">
        <v>2005</v>
      </c>
      <c r="B8" t="s">
        <v>9</v>
      </c>
      <c r="C8">
        <v>50</v>
      </c>
    </row>
    <row r="9" spans="1:3" x14ac:dyDescent="0.3">
      <c r="A9">
        <v>2005</v>
      </c>
      <c r="B9" t="s">
        <v>3</v>
      </c>
      <c r="C9">
        <v>0</v>
      </c>
    </row>
    <row r="10" spans="1:3" x14ac:dyDescent="0.3">
      <c r="A10">
        <v>2005</v>
      </c>
      <c r="B10" t="s">
        <v>4</v>
      </c>
      <c r="C10">
        <v>-50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E69E-8DBC-4509-89B3-08407B11848A}">
  <dimension ref="A1:B4"/>
  <sheetViews>
    <sheetView workbookViewId="0">
      <selection activeCell="B2" sqref="B2"/>
    </sheetView>
  </sheetViews>
  <sheetFormatPr defaultRowHeight="14.4" x14ac:dyDescent="0.3"/>
  <cols>
    <col min="1" max="1" width="24.33203125" customWidth="1"/>
    <col min="2" max="2" width="27.21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9</v>
      </c>
      <c r="B2">
        <f>SUMIF(VLFob!B:B,Geral!A2,VLFob!C:C)</f>
        <v>450</v>
      </c>
    </row>
    <row r="3" spans="1:2" x14ac:dyDescent="0.3">
      <c r="A3" t="s">
        <v>3</v>
      </c>
      <c r="B3">
        <f>SUMIF(VLFob!B:B,Geral!A3,VLFob!C:C)</f>
        <v>750</v>
      </c>
    </row>
    <row r="4" spans="1:2" x14ac:dyDescent="0.3">
      <c r="A4" t="s">
        <v>4</v>
      </c>
      <c r="B4">
        <f>SUMIF(VLFob!B:B,Geral!A4,VLFob!C:C)</f>
        <v>150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75A7-64EB-4879-8CD2-9C356D7B4873}">
  <dimension ref="A3:E8"/>
  <sheetViews>
    <sheetView workbookViewId="0">
      <selection activeCell="H8" sqref="H8"/>
    </sheetView>
  </sheetViews>
  <sheetFormatPr defaultRowHeight="14.4" x14ac:dyDescent="0.3"/>
  <cols>
    <col min="1" max="1" width="18.33203125" bestFit="1" customWidth="1"/>
    <col min="2" max="2" width="18.5546875" bestFit="1" customWidth="1"/>
    <col min="3" max="4" width="5" bestFit="1" customWidth="1"/>
    <col min="5" max="5" width="10" bestFit="1" customWidth="1"/>
  </cols>
  <sheetData>
    <row r="3" spans="1:5" x14ac:dyDescent="0.3">
      <c r="A3" s="2" t="s">
        <v>5</v>
      </c>
      <c r="B3" s="2" t="s">
        <v>6</v>
      </c>
    </row>
    <row r="4" spans="1:5" x14ac:dyDescent="0.3">
      <c r="A4" s="2" t="s">
        <v>7</v>
      </c>
      <c r="B4">
        <v>2003</v>
      </c>
      <c r="C4">
        <v>2004</v>
      </c>
      <c r="D4">
        <v>2005</v>
      </c>
      <c r="E4" t="s">
        <v>8</v>
      </c>
    </row>
    <row r="5" spans="1:5" x14ac:dyDescent="0.3">
      <c r="A5" s="3" t="s">
        <v>4</v>
      </c>
      <c r="B5" s="1">
        <v>100</v>
      </c>
      <c r="C5" s="1">
        <v>100</v>
      </c>
      <c r="D5" s="1">
        <v>-50</v>
      </c>
      <c r="E5" s="1">
        <v>150</v>
      </c>
    </row>
    <row r="6" spans="1:5" x14ac:dyDescent="0.3">
      <c r="A6" s="3" t="s">
        <v>3</v>
      </c>
      <c r="B6" s="1">
        <v>600</v>
      </c>
      <c r="C6" s="1">
        <v>150</v>
      </c>
      <c r="D6" s="1">
        <v>0</v>
      </c>
      <c r="E6" s="1">
        <v>750</v>
      </c>
    </row>
    <row r="7" spans="1:5" x14ac:dyDescent="0.3">
      <c r="A7" s="3" t="s">
        <v>9</v>
      </c>
      <c r="B7" s="1">
        <v>200</v>
      </c>
      <c r="C7" s="1">
        <v>200</v>
      </c>
      <c r="D7" s="1">
        <v>50</v>
      </c>
      <c r="E7" s="1">
        <v>450</v>
      </c>
    </row>
    <row r="8" spans="1:5" x14ac:dyDescent="0.3">
      <c r="A8" s="3" t="s">
        <v>8</v>
      </c>
      <c r="B8" s="1">
        <v>900</v>
      </c>
      <c r="C8" s="1">
        <v>450</v>
      </c>
      <c r="D8" s="1">
        <v>0</v>
      </c>
      <c r="E8" s="1">
        <v>1350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df0c390041f34ef43acbe0a80862db93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085a8e125f9e61194c687ead04b57a7e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bff64e-3093-451a-a0fd-19f60b868634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743C4-0178-4F66-809E-217A2C92DFB9}">
  <ds:schemaRefs>
    <ds:schemaRef ds:uri="http://schemas.microsoft.com/office/2006/metadata/properties"/>
    <ds:schemaRef ds:uri="http://schemas.microsoft.com/office/infopath/2007/PartnerControls"/>
    <ds:schemaRef ds:uri="4c24305b-3a8f-420f-955e-2e1a5a939de2"/>
    <ds:schemaRef ds:uri="cab57bc6-0aad-4c80-a30f-bbd4ef7a8f38"/>
  </ds:schemaRefs>
</ds:datastoreItem>
</file>

<file path=customXml/itemProps2.xml><?xml version="1.0" encoding="utf-8"?>
<ds:datastoreItem xmlns:ds="http://schemas.openxmlformats.org/officeDocument/2006/customXml" ds:itemID="{74DCB10E-D988-4808-8B73-24254559E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1830A-447D-472A-A971-1DEF2EB9F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VLFob</vt:lpstr>
      <vt:lpstr>Geral</vt:lpstr>
      <vt:lpstr>Gráfico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José Sérgio dos Santos</cp:lastModifiedBy>
  <cp:revision/>
  <dcterms:created xsi:type="dcterms:W3CDTF">2025-10-22T23:58:51Z</dcterms:created>
  <dcterms:modified xsi:type="dcterms:W3CDTF">2025-11-06T02:18:55Z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  <property fmtid="{D5CDD505-2E9C-101B-9397-08002B2CF9AE}" pid="3" name="MediaServiceImageTags">
    <vt:lpwstr/>
  </property>
</Properties>
</file>